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<sst xmlns="http://schemas.openxmlformats.org/spreadsheetml/2006/main" count="140" uniqueCount="123">
  <si>
    <t>Timestamp</t>
  </si>
  <si>
    <t>Nhóm</t>
  </si>
  <si>
    <t>Report</t>
  </si>
  <si>
    <t>Tiêu chí 1</t>
  </si>
  <si>
    <t>Tiêu chí 2</t>
  </si>
  <si>
    <t>Tiêu chí 3</t>
  </si>
  <si>
    <t>Tiêu chí 4</t>
  </si>
  <si>
    <t>Tổng điểm</t>
  </si>
  <si>
    <t>Nhận xét</t>
  </si>
  <si>
    <t>STT Nhóm</t>
  </si>
  <si>
    <t>Link Github</t>
  </si>
  <si>
    <t>Mã SV</t>
  </si>
  <si>
    <t>Thành viên 1</t>
  </si>
  <si>
    <t>Thành viên 2</t>
  </si>
  <si>
    <t>https://drive.google.com/open?id=1dvGG_GVxA4hjuqhVmBIC8SdOz_K93XBT</t>
  </si>
  <si>
    <t>Có nêu được phương pháp phân tích thiết kế cho bài toán, có chỉ ra độ phức tạp không gian và thời gian, phần giải thích thiếu lập luận hay chứng minh</t>
  </si>
  <si>
    <t>anhphant</t>
  </si>
  <si>
    <t>Trần Lê Anh Pha</t>
  </si>
  <si>
    <t>https://drive.google.com/open?id=10FvAYrB1ZUn1huO_TWDCdo5QKtS9ypqT</t>
  </si>
  <si>
    <t>Chưa nêu rõ được phương pháp phân tích thiết thuật toán gì, phần mô hình hóa tốt, giải thích có lập luận đầy đủ, phân tích độ phức tạp tốt</t>
  </si>
  <si>
    <t>https://github.com/higiangcoder</t>
  </si>
  <si>
    <t>Nguyễn Trường Giang</t>
  </si>
  <si>
    <t>Nguyễn Ngọc Hưng</t>
  </si>
  <si>
    <t>https://drive.google.com/open?id=1J6hDS0l9ZWpBk1FmCLUtYwaeYweqY8uz</t>
  </si>
  <si>
    <t>Nêu rõ ràng được các phương pháp phân tích thiết kế thuật toán, mô hình hóa bài toán đầy đủ, có chứng minh lập luận rõ ràng, phân tích độ phức tạp rõ ràng.</t>
  </si>
  <si>
    <t>ShineNoLife (Ha Xuan Thien) · GitHub</t>
  </si>
  <si>
    <t>Hà Xuân Thiện</t>
  </si>
  <si>
    <t>Trần Quang Trường</t>
  </si>
  <si>
    <t>https://drive.google.com/open?id=1rdsT318T6bq-rbYezQzXtD4QDoaOtnV3</t>
  </si>
  <si>
    <t>https://github.com/BaoQuyDinhTan</t>
  </si>
  <si>
    <t>Bảo Quý Định Tân</t>
  </si>
  <si>
    <t>Lê Văn Thức</t>
  </si>
  <si>
    <t>https://drive.google.com/open?id=1RXPakQHgfn54CjKhHElW3ql16L2FxiJ-</t>
  </si>
  <si>
    <t>Có mô hình hóa được bài toán, nhưng nêu phương pháp thiết kế không đúng, giải thích sự phù hợp bị thiếu chứng minh &amp; lập luận, độ phức tạp thời gian phân tích sai</t>
  </si>
  <si>
    <t>https://github.com/Sonnt-1412</t>
  </si>
  <si>
    <t>Nguyễn Thành Sơn</t>
  </si>
  <si>
    <t>Trịnh Duy Hưng</t>
  </si>
  <si>
    <t>https://drive.google.com/open?id=16DSOvrd_sTv7D43-0x_W_zxVGH5IRDln</t>
  </si>
  <si>
    <t>Trình bày rõ ràng, mô hình hóa bài toán chuẩn, phân tích độ phức tạp tốt, tuy nhiên phần giải thích sự phù hợp vẫn còn thiếu chiều sâu lập luận và chứng minh</t>
  </si>
  <si>
    <t>https://github.com/trungngayxua</t>
  </si>
  <si>
    <t>Lê Quang Trung</t>
  </si>
  <si>
    <t>Nguyễn Hồng Phúc</t>
  </si>
  <si>
    <t>https://drive.google.com/open?id=17LJuS8lecKRg8A_E0rzJbNUD7TpzkvaU</t>
  </si>
  <si>
    <t>Chưa nêu rõ phương pháp thiết kế là gì, có phân tích độ phức tạp</t>
  </si>
  <si>
    <t>SunnyYeahBoiii</t>
  </si>
  <si>
    <t>Vũ Minh Phương</t>
  </si>
  <si>
    <t>Võ Lê Ngọc Thịnh</t>
  </si>
  <si>
    <t>https://drive.google.com/open?id=11c7RdI-qvs4VWfwRZoe3hdtVPE9A5ay6</t>
  </si>
  <si>
    <t>Chưa nêu được phương pháp thiết kế là gì, có mô hình hóa được bài toán tốt, chưa nêu lý do phù hợp nhưng có lập luận tối ưu, phân tích độ phức tạp tốt</t>
  </si>
  <si>
    <t>https://github.com/Nartvn</t>
  </si>
  <si>
    <t>Hà Bùi Trọng Nghĩa</t>
  </si>
  <si>
    <t>Nguyễn Duy Khang</t>
  </si>
  <si>
    <t>https://drive.google.com/open?id=1uw5Ch3l64sh8IdotDuB-6KQTrIq58b2p</t>
  </si>
  <si>
    <t>Nêu rõ phương pháp thiết kế, phân tích độ phức tạp tốt, giải thích phù hợp tốt, thiếu mô hình hóa bài toán</t>
  </si>
  <si>
    <t>https://github.com/superhero12309</t>
  </si>
  <si>
    <t>Đinh Mạnh Hùng</t>
  </si>
  <si>
    <t>Lê Thiên Quân</t>
  </si>
  <si>
    <t>https://drive.google.com/open?id=1i9uRprAbpm6WtZFA1RjNLN0pp4mSQSuS</t>
  </si>
  <si>
    <t>Ko nêu rõ tên phương pháp, có mô hình hóa bài toán, có phân tích đpt, giải thích sự phù hợp nhưng thiếu chứng minh sơ sài</t>
  </si>
  <si>
    <t>https://github.com/lenhanbo</t>
  </si>
  <si>
    <t>Lê Phạm Thành Nhân</t>
  </si>
  <si>
    <t>Đoàn Hồng Bảo</t>
  </si>
  <si>
    <t>https://drive.google.com/open?id=1D8mHo_JwP4yDwzE-ndVw9wna2XX87b0C</t>
  </si>
  <si>
    <t>Chưa nêu đúng tên pp phân tích thiết kế, có mô hình hóa bài toán, phân tích độ phức tạp tốt</t>
  </si>
  <si>
    <t>https://github.com/PhamThinh-Zoro</t>
  </si>
  <si>
    <t>Phạm Ngọc Phú Thịnh</t>
  </si>
  <si>
    <t>Phạm Nguyễn Duy Anh</t>
  </si>
  <si>
    <t>https://drive.google.com/open?id=1rCIzBZC_KWvhLK27NkUnW6d_MG3-xHpC</t>
  </si>
  <si>
    <t>Không mô hình hóa bài toán rõ, trình bày phương pháp thiết kế sơ sài, có phân tích được đpt</t>
  </si>
  <si>
    <t>https://github.com/VietDuongHoang</t>
  </si>
  <si>
    <t>Dương Hoàng Việt</t>
  </si>
  <si>
    <t>Hồ Hữu Tây</t>
  </si>
  <si>
    <t>https://drive.google.com/open?id=182_BskC8HSPUIXmNHisBX_WIFvFWBb4h</t>
  </si>
  <si>
    <t>Mô hình hóa bài toán tốt, có chứng minh và phân tích đpt đầy đủ nhưng thiếu nêu tên pp phân tích cụ thể</t>
  </si>
  <si>
    <t>https://github.com/DATKINGKHUNG</t>
  </si>
  <si>
    <t>Nguyễn Quốc Phú</t>
  </si>
  <si>
    <t>Trần Xuân Đạt</t>
  </si>
  <si>
    <t>https://drive.google.com/open?id=1HgAXKs2WuJOxq9tUCkwdBdXOs_b3qK_F</t>
  </si>
  <si>
    <t>Chưa nêu đúng tên pp, có lập luận đầy đủ, có phân tích độ phức tạp đầy đủ</t>
  </si>
  <si>
    <t>PuDyDg</t>
  </si>
  <si>
    <t>Đặng Phú Duy</t>
  </si>
  <si>
    <t>Mai Quốc Anh</t>
  </si>
  <si>
    <t>https://drive.google.com/open?id=1glrX5LHzCiUceIDp3JBxw5vdSbM_ZfXK</t>
  </si>
  <si>
    <t>Nêu đầy dủ tên pp thiết kế, mô hình hóa rõ ràng, chứng minh chi phí cạnh tốt,</t>
  </si>
  <si>
    <r>
      <rPr>
        <rFont val="Arial"/>
        <color rgb="FF1155CC"/>
        <u/>
      </rPr>
      <t>BvoJa</t>
    </r>
  </si>
  <si>
    <t>Lương Huỳnh Gia Bảo</t>
  </si>
  <si>
    <t>Trần Nguyễn Khải Lạc</t>
  </si>
  <si>
    <t>https://drive.google.com/open?id=1Sgtcgxn-VEykcpYG--8gzqOvpL51NfzC</t>
  </si>
  <si>
    <t>Nêu được pp thiết kế, chưa mô hình hóa bài toán rõ ràng, có phân tích đpt tốt</t>
  </si>
  <si>
    <t>github.com/DoanQuocKien</t>
  </si>
  <si>
    <t>Đoàn Quốc Kiên</t>
  </si>
  <si>
    <t>Hà Thanh Phong</t>
  </si>
  <si>
    <t>https://github.com/tapu25z</t>
  </si>
  <si>
    <t>Bùi Huỳnh Tây</t>
  </si>
  <si>
    <t>Phạm Ngọc Thọ</t>
  </si>
  <si>
    <t>Mức độ</t>
  </si>
  <si>
    <t>Điểm số</t>
  </si>
  <si>
    <t>Yêu cầu</t>
  </si>
  <si>
    <t>A</t>
  </si>
  <si>
    <t>0.31 - 0.4</t>
  </si>
  <si>
    <t>- Nêu rõ phương pháp thiết kế thuật toán
- Mô hình hóa bài toán một cách rõ ràng</t>
  </si>
  <si>
    <t>1, 3, 4, 6, 10, 16, 17</t>
  </si>
  <si>
    <t>B</t>
  </si>
  <si>
    <t>0.16 - 0.3</t>
  </si>
  <si>
    <t>- Nêu phương pháp nhưng chung chung / nêu thiếu và không làm rõ
- Mô hình hóa bài toán chưa đầy đủ</t>
  </si>
  <si>
    <t>2, 5, 8, 9, 11, 12, 13, 14, 15</t>
  </si>
  <si>
    <t>C</t>
  </si>
  <si>
    <t>0 - 0.15</t>
  </si>
  <si>
    <t>- Không đề cập đến hoặc đề cập sai phương pháp hay không mô hình hóa bài toán</t>
  </si>
  <si>
    <t xml:space="preserve">Yêu cầu </t>
  </si>
  <si>
    <t>0.25 - 0.3</t>
  </si>
  <si>
    <t>- Giải thích rõ tại sao mô hình/thuật toán được chọn là thích hợp với cấu trúc của bài toán
- Có lập luận hoặc chứng minh tính đúng đắn (chi phí cạnh)
- Có thể so sánh thêm với các phương pháp khác</t>
  </si>
  <si>
    <t>2, 3, 4, 12, 14, 16</t>
  </si>
  <si>
    <t>0.15 - 0.24</t>
  </si>
  <si>
    <t>- Không chỉ ra rõ tại sao phương pháp phù hợp với mô hình của bài, nhưng vẫn nêu được ý đúng.
- Trình bày thiên về mô tả lại phương pháp, ít lập luận.</t>
  </si>
  <si>
    <t>1, 5, 6, 7, 8, 9, 10, 11, 13, 15, 17</t>
  </si>
  <si>
    <t>0 - 0.14</t>
  </si>
  <si>
    <t>- Không giải thích / giải thích rất sơ sài. 
- Không có chứng minh, suy luận &amp; phân tích.</t>
  </si>
  <si>
    <t>- Phân tích chi tiết, đặt kí hiệu rõ ràng
- Tách các bước và phân tích riêng
- Kết luận</t>
  </si>
  <si>
    <t>1, 2, 3, 4, 6, 8, 9, 10, 11, 12, 13, 14, 15, 16, 17</t>
  </si>
  <si>
    <t>- Trình bày đúng nhưng chỉ nêu sơ lược / Phân tích có sai sót
- Không phân tích chi tiết, không kí hiệu không rõ ràng</t>
  </si>
  <si>
    <t>5</t>
  </si>
  <si>
    <t>- Không phân tích</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</si>
</sst>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5">
    <font>
      <sz val="10.0"/>
      <color rgb="FF000000"/>
      <name val="Arial"/>
      <scheme val="minor"/>
    </font>
    <font>
      <color theme="1"/>
      <name val="Roboto"/>
    </font>
    <font>
      <color theme="1"/>
      <name val="Arial"/>
      <scheme val="minor"/>
    </font>
    <font>
      <color theme="1"/>
      <name val="Arial"/>
    </font>
    <font>
      <sz val="14.0"/>
      <color theme="1"/>
      <name val="Arial"/>
    </font>
    <font>
      <color rgb="FF434343"/>
      <name val="Roboto"/>
    </font>
    <font>
      <u/>
      <color rgb="FF434343"/>
      <name val="Roboto"/>
    </font>
    <font>
      <u/>
      <color rgb="FF1155CC"/>
      <name val="Arial"/>
    </font>
    <font>
      <u/>
      <sz val="14.0"/>
      <color rgb="FF0000FF"/>
      <name val="Arial"/>
    </font>
    <font>
      <u/>
      <color rgb="FF434343"/>
      <name val="Roboto"/>
    </font>
    <font>
      <u/>
      <sz val="14.0"/>
      <color rgb="FF1155CC"/>
      <name val="Arial"/>
    </font>
    <font>
      <u/>
      <sz val="14.0"/>
      <color rgb="FF0000FF"/>
      <name val="Arial"/>
    </font>
    <font>
      <u/>
      <sz val="14.0"/>
      <color rgb="FF1155CC"/>
      <name val="Arial"/>
    </font>
    <font>
      <u/>
      <sz val="13.0"/>
      <color rgb="FF1155CC"/>
      <name val="Arial"/>
    </font>
    <font>
      <u/>
      <sz val="14.0"/>
      <color rgb="FF1155CC"/>
      <name val="Arial"/>
    </font>
    <font>
      <u/>
      <sz val="14.0"/>
      <color rgb="FF1155CC"/>
      <name val="Arial"/>
    </font>
    <font>
      <sz val="14.0"/>
      <color rgb="FF050505"/>
      <name val="Arial"/>
    </font>
    <font>
      <u/>
      <sz val="13.0"/>
      <color rgb="FF0000FF"/>
      <name val="Arial"/>
    </font>
    <font>
      <sz val="13.0"/>
      <color theme="1"/>
      <name val="Arial"/>
    </font>
    <font>
      <u/>
      <color rgb="FF434343"/>
      <name val="Roboto"/>
    </font>
    <font>
      <u/>
      <sz val="14.0"/>
      <color rgb="FF1155CC"/>
      <name val="Arial"/>
    </font>
    <font>
      <u/>
      <color rgb="FF434343"/>
      <name val="Roboto"/>
    </font>
    <font>
      <u/>
      <color rgb="FF1155CC"/>
      <name val="Arial"/>
    </font>
    <font>
      <u/>
      <color rgb="FF1155CC"/>
      <name val="Arial"/>
    </font>
    <font>
      <b/>
      <color theme="1"/>
      <name val="Arial"/>
      <scheme val="minor"/>
    </font>
  </fonts>
  <fills count="5">
    <fill>
      <patternFill patternType="none"/>
    </fill>
    <fill>
      <patternFill patternType="lightGray"/>
    </fill>
    <fill>
      <patternFill patternType="solid">
        <fgColor rgb="FFF8F9FA"/>
        <bgColor rgb="FFF8F9FA"/>
      </patternFill>
    </fill>
    <fill>
      <patternFill patternType="solid">
        <fgColor rgb="FFE7F9EF"/>
        <bgColor rgb="FFE7F9EF"/>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right" readingOrder="0" shrinkToFit="0" vertical="center"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3" numFmtId="0" xfId="0" applyAlignment="1" applyFont="1">
      <alignment horizontal="left" readingOrder="0" shrinkToFit="0" vertical="center" wrapText="0"/>
    </xf>
    <xf borderId="0" fillId="0" fontId="4" numFmtId="0" xfId="0" applyAlignment="1" applyFont="1">
      <alignment horizontal="center" readingOrder="0" shrinkToFit="0" vertical="center" wrapText="0"/>
    </xf>
    <xf borderId="0" fillId="0" fontId="4" numFmtId="0" xfId="0" applyAlignment="1" applyFont="1">
      <alignment horizontal="center" readingOrder="0" shrinkToFit="0" vertical="bottom" wrapText="0"/>
    </xf>
    <xf borderId="0" fillId="2" fontId="5" numFmtId="164" xfId="0" applyAlignment="1" applyFill="1" applyFont="1" applyNumberFormat="1">
      <alignment horizontal="right" shrinkToFit="0" vertical="center" wrapText="0"/>
    </xf>
    <xf borderId="0" fillId="2" fontId="5" numFmtId="0" xfId="0" applyAlignment="1" applyFont="1">
      <alignment horizontal="right" shrinkToFit="0" vertical="center" wrapText="0"/>
    </xf>
    <xf borderId="0" fillId="2" fontId="6" numFmtId="0" xfId="0" applyAlignment="1" applyFont="1">
      <alignment shrinkToFit="0" vertical="center" wrapText="0"/>
    </xf>
    <xf borderId="0" fillId="2" fontId="5" numFmtId="0" xfId="0" applyAlignment="1" applyFont="1">
      <alignment readingOrder="0" shrinkToFit="0" vertical="center" wrapText="0"/>
    </xf>
    <xf borderId="0" fillId="2" fontId="5" numFmtId="0" xfId="0" applyAlignment="1" applyFont="1">
      <alignment horizontal="center" readingOrder="0" shrinkToFit="0" vertical="center" wrapText="0"/>
    </xf>
    <xf borderId="0" fillId="0" fontId="2" numFmtId="0" xfId="0" applyAlignment="1" applyFont="1">
      <alignment horizontal="center" readingOrder="0" shrinkToFit="0" vertical="center" wrapText="0"/>
    </xf>
    <xf borderId="0" fillId="0" fontId="2" numFmtId="0" xfId="0" applyAlignment="1" applyFont="1">
      <alignment readingOrder="0" shrinkToFit="0" vertical="center" wrapText="0"/>
    </xf>
    <xf borderId="1" fillId="3" fontId="4" numFmtId="0" xfId="0" applyAlignment="1" applyBorder="1" applyFill="1" applyFont="1">
      <alignment horizontal="center" shrinkToFit="0" vertical="center" wrapText="0"/>
    </xf>
    <xf borderId="1" fillId="3" fontId="7" numFmtId="0" xfId="0" applyAlignment="1" applyBorder="1" applyFont="1">
      <alignment horizontal="center" shrinkToFit="0" vertical="center" wrapText="0"/>
    </xf>
    <xf borderId="1" fillId="3" fontId="8" numFmtId="0" xfId="0" applyAlignment="1" applyBorder="1" applyFont="1">
      <alignment horizontal="center" shrinkToFit="0" vertical="center" wrapText="0"/>
    </xf>
    <xf borderId="1" fillId="3" fontId="3" numFmtId="0" xfId="0" applyAlignment="1" applyBorder="1" applyFont="1">
      <alignment shrinkToFit="0" vertical="center" wrapText="0"/>
    </xf>
    <xf borderId="0" fillId="4" fontId="5" numFmtId="164" xfId="0" applyAlignment="1" applyFill="1" applyFont="1" applyNumberFormat="1">
      <alignment horizontal="right" shrinkToFit="0" vertical="center" wrapText="0"/>
    </xf>
    <xf borderId="0" fillId="4" fontId="5" numFmtId="0" xfId="0" applyAlignment="1" applyFont="1">
      <alignment horizontal="right" shrinkToFit="0" vertical="center" wrapText="0"/>
    </xf>
    <xf borderId="0" fillId="4" fontId="9" numFmtId="0" xfId="0" applyAlignment="1" applyFont="1">
      <alignment shrinkToFit="0" vertical="center" wrapText="0"/>
    </xf>
    <xf borderId="0" fillId="4" fontId="5" numFmtId="0" xfId="0" applyAlignment="1" applyFont="1">
      <alignment readingOrder="0" shrinkToFit="0" vertical="center" wrapText="0"/>
    </xf>
    <xf borderId="0" fillId="4" fontId="5" numFmtId="0" xfId="0" applyAlignment="1" applyFont="1">
      <alignment horizontal="center" readingOrder="0" shrinkToFit="0" vertical="center" wrapText="0"/>
    </xf>
    <xf borderId="1" fillId="4" fontId="4" numFmtId="0" xfId="0" applyAlignment="1" applyBorder="1" applyFont="1">
      <alignment horizontal="center" shrinkToFit="0" vertical="center" wrapText="0"/>
    </xf>
    <xf borderId="1" fillId="4" fontId="10" numFmtId="0" xfId="0" applyAlignment="1" applyBorder="1" applyFont="1">
      <alignment horizontal="center" shrinkToFit="0" vertical="bottom" wrapText="0"/>
    </xf>
    <xf borderId="1" fillId="4" fontId="11" numFmtId="0" xfId="0" applyAlignment="1" applyBorder="1" applyFont="1">
      <alignment horizontal="center" shrinkToFit="0" vertical="center" wrapText="0"/>
    </xf>
    <xf borderId="1" fillId="3" fontId="12" numFmtId="0" xfId="0" applyAlignment="1" applyBorder="1" applyFont="1">
      <alignment horizontal="center" shrinkToFit="0" vertical="bottom" wrapText="0"/>
    </xf>
    <xf borderId="0" fillId="4" fontId="5" numFmtId="0" xfId="0" applyAlignment="1" applyFont="1">
      <alignment readingOrder="0" shrinkToFit="0" vertical="center" wrapText="0"/>
    </xf>
    <xf borderId="1" fillId="4" fontId="13" numFmtId="49" xfId="0" applyAlignment="1" applyBorder="1" applyFont="1" applyNumberFormat="1">
      <alignment horizontal="center" shrinkToFit="0" vertical="center" wrapText="0"/>
    </xf>
    <xf borderId="1" fillId="4" fontId="14" numFmtId="0" xfId="0" applyAlignment="1" applyBorder="1" applyFont="1">
      <alignment horizontal="center" shrinkToFit="0" vertical="center" wrapText="0"/>
    </xf>
    <xf borderId="0" fillId="2" fontId="5" numFmtId="0" xfId="0" applyAlignment="1" applyFont="1">
      <alignment readingOrder="0" shrinkToFit="0" vertical="center" wrapText="0"/>
    </xf>
    <xf borderId="1" fillId="3" fontId="15" numFmtId="0" xfId="0" applyAlignment="1" applyBorder="1" applyFont="1">
      <alignment horizontal="center" shrinkToFit="0" vertical="center" wrapText="0"/>
    </xf>
    <xf borderId="1" fillId="4" fontId="16" numFmtId="0" xfId="0" applyAlignment="1" applyBorder="1" applyFont="1">
      <alignment horizontal="center" shrinkToFit="0" vertical="center" wrapText="0"/>
    </xf>
    <xf borderId="1" fillId="3" fontId="17" numFmtId="0" xfId="0" applyAlignment="1" applyBorder="1" applyFont="1">
      <alignment horizontal="center" shrinkToFit="0" vertical="bottom" wrapText="0"/>
    </xf>
    <xf borderId="1" fillId="3" fontId="18" numFmtId="0" xfId="0" applyAlignment="1" applyBorder="1" applyFont="1">
      <alignment horizontal="center" shrinkToFit="0" vertical="bottom" wrapText="0"/>
    </xf>
    <xf borderId="0" fillId="4" fontId="19" numFmtId="0" xfId="0" applyAlignment="1" applyFont="1">
      <alignment shrinkToFit="0" vertical="center" wrapText="0"/>
    </xf>
    <xf borderId="1" fillId="4" fontId="20" numFmtId="0" xfId="0" applyAlignment="1" applyBorder="1" applyFont="1">
      <alignment shrinkToFit="0" vertical="bottom" wrapText="0"/>
    </xf>
    <xf borderId="0" fillId="0" fontId="2" numFmtId="164" xfId="0" applyAlignment="1" applyFont="1" applyNumberFormat="1">
      <alignment readingOrder="0" shrinkToFit="0" vertical="center" wrapText="0"/>
    </xf>
    <xf borderId="0" fillId="0" fontId="21" numFmtId="0" xfId="0" applyAlignment="1" applyFont="1">
      <alignment readingOrder="0" shrinkToFit="0" vertical="center" wrapText="0"/>
    </xf>
    <xf borderId="1" fillId="4" fontId="22" numFmtId="0" xfId="0" applyAlignment="1" applyBorder="1" applyFont="1">
      <alignment horizontal="center" shrinkToFit="0" vertical="bottom" wrapText="0"/>
    </xf>
    <xf borderId="1" fillId="3" fontId="23" numFmtId="0" xfId="0" applyAlignment="1" applyBorder="1" applyFont="1">
      <alignment horizontal="center" shrinkToFit="0" vertical="bottom" wrapText="0"/>
    </xf>
    <xf borderId="0" fillId="0" fontId="24" numFmtId="0" xfId="0" applyAlignment="1" applyFont="1">
      <alignment readingOrder="0" shrinkToFit="0" vertical="center" wrapText="0"/>
    </xf>
    <xf borderId="0" fillId="0" fontId="2" numFmtId="0" xfId="0" applyAlignment="1" applyFont="1">
      <alignment horizontal="right" readingOrder="0" shrinkToFit="0" vertical="center" wrapText="0"/>
    </xf>
    <xf borderId="0" fillId="0" fontId="2" numFmtId="49" xfId="0" applyAlignment="1" applyFont="1" applyNumberFormat="1">
      <alignment horizontal="right" readingOrder="0" shrinkToFit="0" vertical="center" wrapText="0"/>
    </xf>
    <xf borderId="0" fillId="0" fontId="2" numFmtId="49" xfId="0" applyAlignment="1" applyFont="1" applyNumberFormat="1">
      <alignment horizontal="right" shrinkToFit="0" vertical="center" wrapText="0"/>
    </xf>
  </cellXfs>
  <cellStyles count="1">
    <cellStyle xfId="0" name="Normal" builtinId="0"/>
  </cellStyles>
  <dxfs count="7">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
      <font/>
      <fill>
        <patternFill patternType="solid">
          <fgColor rgb="FF356854"/>
          <bgColor rgb="FF356854"/>
        </patternFill>
      </fill>
      <border/>
    </dxf>
    <dxf>
      <font/>
      <fill>
        <patternFill patternType="solid">
          <fgColor rgb="FFF6F8F9"/>
          <bgColor rgb="FFF6F8F9"/>
        </patternFill>
      </fill>
      <border/>
    </dxf>
  </dxfs>
  <tableStyles count="5">
    <tableStyle count="4" pivot="0" name="Sheet1-style">
      <tableStyleElement dxfId="1" type="headerRow"/>
      <tableStyleElement dxfId="2" type="firstRowStripe"/>
      <tableStyleElement dxfId="3" type="secondRowStripe"/>
      <tableStyleElement dxfId="4" size="0" type="wholeTable"/>
    </tableStyle>
    <tableStyle count="4" pivot="0" name="Sheet1-style 2">
      <tableStyleElement dxfId="5" type="headerRow"/>
      <tableStyleElement dxfId="2" type="firstRowStripe"/>
      <tableStyleElement dxfId="6" type="secondRowStripe"/>
      <tableStyleElement dxfId="4" size="0" type="wholeTable"/>
    </tableStyle>
    <tableStyle count="4" pivot="0" name="Sheet1-style 3">
      <tableStyleElement dxfId="5" type="headerRow"/>
      <tableStyleElement dxfId="2" type="firstRowStripe"/>
      <tableStyleElement dxfId="6" type="secondRowStripe"/>
      <tableStyleElement dxfId="4" size="0" type="wholeTable"/>
    </tableStyle>
    <tableStyle count="4" pivot="0" name="Sheet1-style 4">
      <tableStyleElement dxfId="5" type="headerRow"/>
      <tableStyleElement dxfId="2" type="firstRowStripe"/>
      <tableStyleElement dxfId="6" type="secondRowStripe"/>
      <tableStyleElement dxfId="4" size="0" type="wholeTable"/>
    </tableStyle>
    <tableStyle count="4" pivot="0" name="Sheet1-style 5">
      <tableStyleElement dxfId="5" type="headerRow"/>
      <tableStyleElement dxfId="2" type="firstRowStripe"/>
      <tableStyleElement dxfId="6"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I17" displayName="Danh_sách_bài_nộp" name="Danh_sách_bài_nộp" id="1">
  <tableColumns count="9">
    <tableColumn name="Timestamp" id="1"/>
    <tableColumn name="Nhóm" id="2"/>
    <tableColumn name="Report" id="3"/>
    <tableColumn name="Tiêu chí 1" id="4"/>
    <tableColumn name="Tiêu chí 2" id="5"/>
    <tableColumn name="Tiêu chí 3" id="6"/>
    <tableColumn name="Tiêu chí 4" id="7"/>
    <tableColumn name="Tổng điểm" id="8"/>
    <tableColumn name="Nhận xét" id="9"/>
  </tableColumns>
  <tableStyleInfo name="Sheet1-style" showColumnStripes="0" showFirstColumn="1" showLastColumn="1" showRowStripes="1"/>
</table>
</file>

<file path=xl/tables/table2.xml><?xml version="1.0" encoding="utf-8"?>
<table xmlns="http://schemas.openxmlformats.org/spreadsheetml/2006/main" ref="K1:O18" displayName="Danh_sách_các_nhóm" name="Danh_sách_các_nhóm" id="2">
  <tableColumns count="5">
    <tableColumn name="STT Nhóm" id="1"/>
    <tableColumn name="Link Github" id="2"/>
    <tableColumn name="Mã SV" id="3"/>
    <tableColumn name="Thành viên 1" id="4"/>
    <tableColumn name="Thành viên 2" id="5"/>
  </tableColumns>
  <tableStyleInfo name="Sheet1-style 2" showColumnStripes="0" showFirstColumn="1" showLastColumn="1" showRowStripes="1"/>
</table>
</file>

<file path=xl/tables/table3.xml><?xml version="1.0" encoding="utf-8"?>
<table xmlns="http://schemas.openxmlformats.org/spreadsheetml/2006/main" ref="A24:D27" displayName="Tiêu_chí_2" name="Tiêu_chí_2" id="3">
  <tableColumns count="4">
    <tableColumn name="Mức độ" id="1"/>
    <tableColumn name="Điểm số" id="2"/>
    <tableColumn name="Yêu cầu" id="3"/>
    <tableColumn name="Nhóm" id="4"/>
  </tableColumns>
  <tableStyleInfo name="Sheet1-style 3" showColumnStripes="0" showFirstColumn="1" showLastColumn="1" showRowStripes="1"/>
</table>
</file>

<file path=xl/tables/table4.xml><?xml version="1.0" encoding="utf-8"?>
<table xmlns="http://schemas.openxmlformats.org/spreadsheetml/2006/main" ref="A30:D33" displayName="Tiêu_chí_3" name="Tiêu_chí_3" id="4">
  <tableColumns count="4">
    <tableColumn name="Mức độ" id="1"/>
    <tableColumn name="Điểm số" id="2"/>
    <tableColumn name="Yêu cầu " id="3"/>
    <tableColumn name="Nhóm" id="4"/>
  </tableColumns>
  <tableStyleInfo name="Sheet1-style 4" showColumnStripes="0" showFirstColumn="1" showLastColumn="1" showRowStripes="1"/>
</table>
</file>

<file path=xl/tables/table5.xml><?xml version="1.0" encoding="utf-8"?>
<table xmlns="http://schemas.openxmlformats.org/spreadsheetml/2006/main" ref="A36:D39" displayName="Tiêu_chí_4" name="Tiêu_chí_4" id="5">
  <tableColumns count="4">
    <tableColumn name="Mức độ" id="1"/>
    <tableColumn name="Điểm số" id="2"/>
    <tableColumn name="Yêu cầu" id="3"/>
    <tableColumn name="Nhóm" id="4"/>
  </tableColumns>
  <tableStyleInfo name="Sheet1-style 5"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open?id=1HgAXKs2WuJOxq9tUCkwdBdXOs_b3qK_F" TargetMode="External"/><Relationship Id="rId42" Type="http://schemas.openxmlformats.org/officeDocument/2006/relationships/hyperlink" Target="https://github.com/PuDyDg" TargetMode="External"/><Relationship Id="rId41" Type="http://schemas.openxmlformats.org/officeDocument/2006/relationships/hyperlink" Target="https://github.com/PuDyDg" TargetMode="External"/><Relationship Id="rId44" Type="http://schemas.openxmlformats.org/officeDocument/2006/relationships/hyperlink" Target="https://github.com/bvoja" TargetMode="External"/><Relationship Id="rId43" Type="http://schemas.openxmlformats.org/officeDocument/2006/relationships/hyperlink" Target="https://drive.google.com/open?id=1glrX5LHzCiUceIDp3JBxw5vdSbM_ZfXK" TargetMode="External"/><Relationship Id="rId46" Type="http://schemas.openxmlformats.org/officeDocument/2006/relationships/hyperlink" Target="https://drive.google.com/open?id=1Sgtcgxn-VEykcpYG--8gzqOvpL51NfzC" TargetMode="External"/><Relationship Id="rId45" Type="http://schemas.openxmlformats.org/officeDocument/2006/relationships/hyperlink" Target="https://github.com/bvoja" TargetMode="External"/><Relationship Id="rId1" Type="http://schemas.openxmlformats.org/officeDocument/2006/relationships/hyperlink" Target="https://drive.google.com/open?id=1dvGG_GVxA4hjuqhVmBIC8SdOz_K93XBT" TargetMode="External"/><Relationship Id="rId2" Type="http://schemas.openxmlformats.org/officeDocument/2006/relationships/hyperlink" Target="https://github.com/anhphant" TargetMode="External"/><Relationship Id="rId3" Type="http://schemas.openxmlformats.org/officeDocument/2006/relationships/hyperlink" Target="https://github.com/anhphant" TargetMode="External"/><Relationship Id="rId4" Type="http://schemas.openxmlformats.org/officeDocument/2006/relationships/hyperlink" Target="https://drive.google.com/open?id=10FvAYrB1ZUn1huO_TWDCdo5QKtS9ypqT" TargetMode="External"/><Relationship Id="rId9" Type="http://schemas.openxmlformats.org/officeDocument/2006/relationships/hyperlink" Target="https://github.com/ShineNoLife" TargetMode="External"/><Relationship Id="rId48" Type="http://schemas.openxmlformats.org/officeDocument/2006/relationships/hyperlink" Target="http://github.com/DoanQuocKien" TargetMode="External"/><Relationship Id="rId47" Type="http://schemas.openxmlformats.org/officeDocument/2006/relationships/hyperlink" Target="http://github.com/DoanQuocKien" TargetMode="External"/><Relationship Id="rId49" Type="http://schemas.openxmlformats.org/officeDocument/2006/relationships/hyperlink" Target="https://github.com/tapu25z" TargetMode="External"/><Relationship Id="rId5" Type="http://schemas.openxmlformats.org/officeDocument/2006/relationships/hyperlink" Target="https://github.com/higiangcoder" TargetMode="External"/><Relationship Id="rId6" Type="http://schemas.openxmlformats.org/officeDocument/2006/relationships/hyperlink" Target="https://github.com/higiangcoder" TargetMode="External"/><Relationship Id="rId7" Type="http://schemas.openxmlformats.org/officeDocument/2006/relationships/hyperlink" Target="https://drive.google.com/open?id=1J6hDS0l9ZWpBk1FmCLUtYwaeYweqY8uz" TargetMode="External"/><Relationship Id="rId8" Type="http://schemas.openxmlformats.org/officeDocument/2006/relationships/hyperlink" Target="https://github.com/ShineNoLife" TargetMode="External"/><Relationship Id="rId31" Type="http://schemas.openxmlformats.org/officeDocument/2006/relationships/hyperlink" Target="https://drive.google.com/open?id=1D8mHo_JwP4yDwzE-ndVw9wna2XX87b0C" TargetMode="External"/><Relationship Id="rId30" Type="http://schemas.openxmlformats.org/officeDocument/2006/relationships/hyperlink" Target="https://github.com/lenhanbo" TargetMode="External"/><Relationship Id="rId33" Type="http://schemas.openxmlformats.org/officeDocument/2006/relationships/hyperlink" Target="https://github.com/PhamThinh-Zoro" TargetMode="External"/><Relationship Id="rId32" Type="http://schemas.openxmlformats.org/officeDocument/2006/relationships/hyperlink" Target="https://github.com/PhamThinh-Zoro" TargetMode="External"/><Relationship Id="rId35" Type="http://schemas.openxmlformats.org/officeDocument/2006/relationships/hyperlink" Target="https://github.com/VietDuongHoang" TargetMode="External"/><Relationship Id="rId34" Type="http://schemas.openxmlformats.org/officeDocument/2006/relationships/hyperlink" Target="https://drive.google.com/open?id=1rCIzBZC_KWvhLK27NkUnW6d_MG3-xHpC" TargetMode="External"/><Relationship Id="rId37" Type="http://schemas.openxmlformats.org/officeDocument/2006/relationships/hyperlink" Target="https://drive.google.com/open?id=182_BskC8HSPUIXmNHisBX_WIFvFWBb4h" TargetMode="External"/><Relationship Id="rId36" Type="http://schemas.openxmlformats.org/officeDocument/2006/relationships/hyperlink" Target="https://github.com/VietDuongHoang" TargetMode="External"/><Relationship Id="rId39" Type="http://schemas.openxmlformats.org/officeDocument/2006/relationships/hyperlink" Target="https://github.com/DATKINGKHUNG" TargetMode="External"/><Relationship Id="rId38" Type="http://schemas.openxmlformats.org/officeDocument/2006/relationships/hyperlink" Target="https://github.com/DATKINGKHUNG" TargetMode="External"/><Relationship Id="rId61" Type="http://schemas.openxmlformats.org/officeDocument/2006/relationships/table" Target="../tables/table5.xml"/><Relationship Id="rId20" Type="http://schemas.openxmlformats.org/officeDocument/2006/relationships/hyperlink" Target="https://github.com/SunnyYeahBoiii" TargetMode="External"/><Relationship Id="rId22" Type="http://schemas.openxmlformats.org/officeDocument/2006/relationships/hyperlink" Target="https://drive.google.com/open?id=11c7RdI-qvs4VWfwRZoe3hdtVPE9A5ay6" TargetMode="External"/><Relationship Id="rId21" Type="http://schemas.openxmlformats.org/officeDocument/2006/relationships/hyperlink" Target="https://github.com/SunnyYeahBoiii" TargetMode="External"/><Relationship Id="rId24" Type="http://schemas.openxmlformats.org/officeDocument/2006/relationships/hyperlink" Target="https://github.com/Nartvn" TargetMode="External"/><Relationship Id="rId23" Type="http://schemas.openxmlformats.org/officeDocument/2006/relationships/hyperlink" Target="https://github.com/Nartvn" TargetMode="External"/><Relationship Id="rId60" Type="http://schemas.openxmlformats.org/officeDocument/2006/relationships/table" Target="../tables/table4.xml"/><Relationship Id="rId26" Type="http://schemas.openxmlformats.org/officeDocument/2006/relationships/hyperlink" Target="https://github.com/UITdinhmanhhung" TargetMode="External"/><Relationship Id="rId25" Type="http://schemas.openxmlformats.org/officeDocument/2006/relationships/hyperlink" Target="https://drive.google.com/open?id=1uw5Ch3l64sh8IdotDuB-6KQTrIq58b2p" TargetMode="External"/><Relationship Id="rId28" Type="http://schemas.openxmlformats.org/officeDocument/2006/relationships/hyperlink" Target="https://drive.google.com/open?id=1i9uRprAbpm6WtZFA1RjNLN0pp4mSQSuS" TargetMode="External"/><Relationship Id="rId27" Type="http://schemas.openxmlformats.org/officeDocument/2006/relationships/hyperlink" Target="https://github.com/UITdinhmanhhung" TargetMode="External"/><Relationship Id="rId29" Type="http://schemas.openxmlformats.org/officeDocument/2006/relationships/hyperlink" Target="https://github.com/lenhanbo" TargetMode="External"/><Relationship Id="rId51" Type="http://schemas.openxmlformats.org/officeDocument/2006/relationships/drawing" Target="../drawings/drawing1.xml"/><Relationship Id="rId50" Type="http://schemas.openxmlformats.org/officeDocument/2006/relationships/hyperlink" Target="https://github.com/tapu25z" TargetMode="External"/><Relationship Id="rId11" Type="http://schemas.openxmlformats.org/officeDocument/2006/relationships/hyperlink" Target="https://github.com/BaoQuyDinhTan" TargetMode="External"/><Relationship Id="rId10" Type="http://schemas.openxmlformats.org/officeDocument/2006/relationships/hyperlink" Target="https://drive.google.com/open?id=1rdsT318T6bq-rbYezQzXtD4QDoaOtnV3" TargetMode="External"/><Relationship Id="rId13" Type="http://schemas.openxmlformats.org/officeDocument/2006/relationships/hyperlink" Target="https://drive.google.com/open?id=1RXPakQHgfn54CjKhHElW3ql16L2FxiJ-" TargetMode="External"/><Relationship Id="rId57" Type="http://schemas.openxmlformats.org/officeDocument/2006/relationships/table" Target="../tables/table1.xml"/><Relationship Id="rId12" Type="http://schemas.openxmlformats.org/officeDocument/2006/relationships/hyperlink" Target="https://github.com/BaoQuyDinhTan" TargetMode="External"/><Relationship Id="rId15" Type="http://schemas.openxmlformats.org/officeDocument/2006/relationships/hyperlink" Target="https://github.com/Sonnt-1412" TargetMode="External"/><Relationship Id="rId59" Type="http://schemas.openxmlformats.org/officeDocument/2006/relationships/table" Target="../tables/table3.xml"/><Relationship Id="rId14" Type="http://schemas.openxmlformats.org/officeDocument/2006/relationships/hyperlink" Target="https://github.com/Sonnt-1412" TargetMode="External"/><Relationship Id="rId58" Type="http://schemas.openxmlformats.org/officeDocument/2006/relationships/table" Target="../tables/table2.xml"/><Relationship Id="rId17" Type="http://schemas.openxmlformats.org/officeDocument/2006/relationships/hyperlink" Target="https://github.com/trungngayxua" TargetMode="External"/><Relationship Id="rId16" Type="http://schemas.openxmlformats.org/officeDocument/2006/relationships/hyperlink" Target="https://drive.google.com/open?id=16DSOvrd_sTv7D43-0x_W_zxVGH5IRDln" TargetMode="External"/><Relationship Id="rId19" Type="http://schemas.openxmlformats.org/officeDocument/2006/relationships/hyperlink" Target="https://drive.google.com/open?id=17LJuS8lecKRg8A_E0rzJbNUD7TpzkvaU" TargetMode="External"/><Relationship Id="rId18" Type="http://schemas.openxmlformats.org/officeDocument/2006/relationships/hyperlink" Target="https://github.com/trungngayxu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63"/>
    <col customWidth="1" min="2" max="2" width="13.13"/>
    <col customWidth="1" min="3" max="3" width="63.38"/>
    <col customWidth="1" min="4" max="4" width="37.63"/>
    <col customWidth="1" min="8" max="8" width="13.75"/>
    <col customWidth="1" min="9" max="9" width="53.75"/>
    <col customWidth="1" min="10" max="10" width="13.38"/>
    <col customWidth="1" min="11" max="11" width="7.0"/>
    <col customWidth="1" min="12" max="12" width="44.5"/>
    <col customWidth="1" min="13" max="13" width="18.5"/>
    <col customWidth="1" min="14" max="14" width="26.25"/>
    <col customWidth="1" min="15" max="15" width="28.5"/>
  </cols>
  <sheetData>
    <row r="1" ht="22.5" customHeight="1">
      <c r="A1" s="1" t="s">
        <v>0</v>
      </c>
      <c r="B1" s="1" t="s">
        <v>1</v>
      </c>
      <c r="C1" s="1" t="s">
        <v>2</v>
      </c>
      <c r="D1" s="2" t="s">
        <v>3</v>
      </c>
      <c r="E1" s="3" t="s">
        <v>4</v>
      </c>
      <c r="F1" s="4" t="s">
        <v>5</v>
      </c>
      <c r="G1" s="4" t="s">
        <v>6</v>
      </c>
      <c r="H1" s="4" t="s">
        <v>7</v>
      </c>
      <c r="I1" s="4" t="s">
        <v>8</v>
      </c>
      <c r="K1" s="5" t="s">
        <v>9</v>
      </c>
      <c r="L1" s="6" t="s">
        <v>10</v>
      </c>
      <c r="M1" s="7" t="s">
        <v>11</v>
      </c>
      <c r="N1" s="7" t="s">
        <v>12</v>
      </c>
      <c r="O1" s="7" t="s">
        <v>13</v>
      </c>
    </row>
    <row r="2" ht="22.5" customHeight="1">
      <c r="A2" s="8">
        <v>45995.916514641205</v>
      </c>
      <c r="B2" s="9">
        <v>1.0</v>
      </c>
      <c r="C2" s="10" t="s">
        <v>14</v>
      </c>
      <c r="D2" s="11">
        <v>9.0</v>
      </c>
      <c r="E2" s="12">
        <v>0.35</v>
      </c>
      <c r="F2" s="13">
        <v>0.2</v>
      </c>
      <c r="G2" s="13">
        <v>0.3</v>
      </c>
      <c r="H2" s="13">
        <f t="shared" ref="H2:H12" si="1"> SUM(D2:G2)</f>
        <v>9.85</v>
      </c>
      <c r="I2" s="14" t="s">
        <v>15</v>
      </c>
      <c r="K2" s="15">
        <v>1.0</v>
      </c>
      <c r="L2" s="16" t="s">
        <v>16</v>
      </c>
      <c r="M2" s="15">
        <v>2.4521287E7</v>
      </c>
      <c r="N2" s="17" t="s">
        <v>17</v>
      </c>
      <c r="O2" s="18"/>
    </row>
    <row r="3" ht="22.5" customHeight="1">
      <c r="A3" s="19">
        <v>45994.940412905096</v>
      </c>
      <c r="B3" s="20">
        <v>2.0</v>
      </c>
      <c r="C3" s="21" t="s">
        <v>18</v>
      </c>
      <c r="D3" s="22">
        <v>9.0</v>
      </c>
      <c r="E3" s="23">
        <v>0.25</v>
      </c>
      <c r="F3" s="13">
        <v>0.27</v>
      </c>
      <c r="G3" s="13">
        <v>0.3</v>
      </c>
      <c r="H3" s="13">
        <f t="shared" si="1"/>
        <v>9.82</v>
      </c>
      <c r="I3" s="14" t="s">
        <v>19</v>
      </c>
      <c r="K3" s="24">
        <v>2.0</v>
      </c>
      <c r="L3" s="25" t="s">
        <v>20</v>
      </c>
      <c r="M3" s="24">
        <v>2.4520011E7</v>
      </c>
      <c r="N3" s="26" t="s">
        <v>21</v>
      </c>
      <c r="O3" s="24" t="s">
        <v>22</v>
      </c>
    </row>
    <row r="4" ht="22.5" customHeight="1">
      <c r="A4" s="19">
        <v>45996.013792812504</v>
      </c>
      <c r="B4" s="20">
        <v>3.0</v>
      </c>
      <c r="C4" s="21" t="s">
        <v>23</v>
      </c>
      <c r="D4" s="22">
        <v>9.0</v>
      </c>
      <c r="E4" s="23">
        <v>0.4</v>
      </c>
      <c r="F4" s="13">
        <v>0.3</v>
      </c>
      <c r="G4" s="13">
        <v>0.3</v>
      </c>
      <c r="H4" s="13">
        <f t="shared" si="1"/>
        <v>10</v>
      </c>
      <c r="I4" s="14" t="s">
        <v>24</v>
      </c>
      <c r="K4" s="15">
        <v>3.0</v>
      </c>
      <c r="L4" s="27" t="s">
        <v>25</v>
      </c>
      <c r="M4" s="15">
        <v>2.4520031E7</v>
      </c>
      <c r="N4" s="17" t="s">
        <v>26</v>
      </c>
      <c r="O4" s="15" t="s">
        <v>27</v>
      </c>
    </row>
    <row r="5" ht="22.5" customHeight="1">
      <c r="A5" s="19">
        <v>45995.4973087963</v>
      </c>
      <c r="B5" s="28">
        <v>4.0</v>
      </c>
      <c r="C5" s="21" t="s">
        <v>28</v>
      </c>
      <c r="D5" s="22">
        <v>9.0</v>
      </c>
      <c r="E5" s="23">
        <v>0.4</v>
      </c>
      <c r="F5" s="13">
        <v>0.3</v>
      </c>
      <c r="G5" s="13">
        <v>0.3</v>
      </c>
      <c r="H5" s="13">
        <f t="shared" si="1"/>
        <v>10</v>
      </c>
      <c r="I5" s="14" t="s">
        <v>24</v>
      </c>
      <c r="K5" s="24">
        <v>4.0</v>
      </c>
      <c r="L5" s="29" t="s">
        <v>29</v>
      </c>
      <c r="M5" s="24">
        <v>2.4520028E7</v>
      </c>
      <c r="N5" s="26" t="s">
        <v>30</v>
      </c>
      <c r="O5" s="24" t="s">
        <v>31</v>
      </c>
    </row>
    <row r="6" ht="22.5" customHeight="1">
      <c r="A6" s="19">
        <v>45995.89722304398</v>
      </c>
      <c r="B6" s="20">
        <v>5.0</v>
      </c>
      <c r="C6" s="21" t="s">
        <v>32</v>
      </c>
      <c r="D6" s="22">
        <v>9.0</v>
      </c>
      <c r="E6" s="23">
        <v>0.2</v>
      </c>
      <c r="F6" s="13">
        <v>0.2</v>
      </c>
      <c r="G6" s="13">
        <v>0.2</v>
      </c>
      <c r="H6" s="13">
        <f t="shared" si="1"/>
        <v>9.6</v>
      </c>
      <c r="I6" s="14" t="s">
        <v>33</v>
      </c>
      <c r="K6" s="15">
        <v>5.0</v>
      </c>
      <c r="L6" s="27" t="s">
        <v>34</v>
      </c>
      <c r="M6" s="15">
        <v>2.4521532E7</v>
      </c>
      <c r="N6" s="17" t="s">
        <v>35</v>
      </c>
      <c r="O6" s="15" t="s">
        <v>36</v>
      </c>
    </row>
    <row r="7" ht="22.5" customHeight="1">
      <c r="A7" s="19">
        <v>45995.77116613426</v>
      </c>
      <c r="B7" s="28">
        <v>6.0</v>
      </c>
      <c r="C7" s="21" t="s">
        <v>37</v>
      </c>
      <c r="D7" s="22">
        <v>9.0</v>
      </c>
      <c r="E7" s="23">
        <v>0.4</v>
      </c>
      <c r="F7" s="13">
        <v>0.24</v>
      </c>
      <c r="G7" s="13">
        <v>0.3</v>
      </c>
      <c r="H7" s="13">
        <f t="shared" si="1"/>
        <v>9.94</v>
      </c>
      <c r="I7" s="14" t="s">
        <v>38</v>
      </c>
      <c r="K7" s="24">
        <v>6.0</v>
      </c>
      <c r="L7" s="30" t="s">
        <v>39</v>
      </c>
      <c r="M7" s="24">
        <v>2.4521883E7</v>
      </c>
      <c r="N7" s="26" t="s">
        <v>40</v>
      </c>
      <c r="O7" s="24" t="s">
        <v>41</v>
      </c>
    </row>
    <row r="8" ht="22.5" customHeight="1">
      <c r="A8" s="8">
        <v>45995.897433125</v>
      </c>
      <c r="B8" s="31">
        <v>8.0</v>
      </c>
      <c r="C8" s="10" t="s">
        <v>42</v>
      </c>
      <c r="D8" s="11">
        <v>9.0</v>
      </c>
      <c r="E8" s="12">
        <v>0.16</v>
      </c>
      <c r="F8" s="13">
        <v>0.2</v>
      </c>
      <c r="G8" s="13">
        <v>0.3</v>
      </c>
      <c r="H8" s="13">
        <f t="shared" si="1"/>
        <v>9.66</v>
      </c>
      <c r="I8" s="14" t="s">
        <v>43</v>
      </c>
      <c r="K8" s="15">
        <v>7.0</v>
      </c>
      <c r="L8" s="32" t="s">
        <v>44</v>
      </c>
      <c r="M8" s="15">
        <v>2.4521421E7</v>
      </c>
      <c r="N8" s="17" t="s">
        <v>45</v>
      </c>
      <c r="O8" s="15" t="s">
        <v>46</v>
      </c>
    </row>
    <row r="9" ht="22.5" customHeight="1">
      <c r="A9" s="8">
        <v>45995.92422645833</v>
      </c>
      <c r="B9" s="9">
        <v>9.0</v>
      </c>
      <c r="C9" s="10" t="s">
        <v>47</v>
      </c>
      <c r="D9" s="11">
        <v>9.0</v>
      </c>
      <c r="E9" s="12">
        <v>0.3</v>
      </c>
      <c r="F9" s="13">
        <v>0.2</v>
      </c>
      <c r="G9" s="13">
        <v>0.3</v>
      </c>
      <c r="H9" s="13">
        <f t="shared" si="1"/>
        <v>9.8</v>
      </c>
      <c r="I9" s="14" t="s">
        <v>48</v>
      </c>
      <c r="K9" s="24">
        <v>8.0</v>
      </c>
      <c r="L9" s="25" t="s">
        <v>49</v>
      </c>
      <c r="M9" s="33">
        <v>2.452002E7</v>
      </c>
      <c r="N9" s="26" t="s">
        <v>50</v>
      </c>
      <c r="O9" s="24" t="s">
        <v>51</v>
      </c>
    </row>
    <row r="10" ht="22.5" customHeight="1">
      <c r="A10" s="19">
        <v>45995.91722509259</v>
      </c>
      <c r="B10" s="20">
        <v>10.0</v>
      </c>
      <c r="C10" s="21" t="s">
        <v>52</v>
      </c>
      <c r="D10" s="22">
        <v>9.0</v>
      </c>
      <c r="E10" s="23">
        <v>0.35</v>
      </c>
      <c r="F10" s="13">
        <v>0.2</v>
      </c>
      <c r="G10" s="13">
        <v>0.3</v>
      </c>
      <c r="H10" s="13">
        <f t="shared" si="1"/>
        <v>9.85</v>
      </c>
      <c r="I10" s="14" t="s">
        <v>53</v>
      </c>
      <c r="K10" s="15">
        <v>9.0</v>
      </c>
      <c r="L10" s="32" t="s">
        <v>54</v>
      </c>
      <c r="M10" s="15">
        <v>2.4520014E7</v>
      </c>
      <c r="N10" s="17" t="s">
        <v>55</v>
      </c>
      <c r="O10" s="15" t="s">
        <v>56</v>
      </c>
    </row>
    <row r="11" ht="22.5" customHeight="1">
      <c r="A11" s="19">
        <v>45995.90958994213</v>
      </c>
      <c r="B11" s="20">
        <v>11.0</v>
      </c>
      <c r="C11" s="21" t="s">
        <v>57</v>
      </c>
      <c r="D11" s="22">
        <v>9.0</v>
      </c>
      <c r="E11" s="23">
        <v>0.25</v>
      </c>
      <c r="F11" s="13">
        <v>0.2</v>
      </c>
      <c r="G11" s="13">
        <v>0.3</v>
      </c>
      <c r="H11" s="13">
        <f t="shared" si="1"/>
        <v>9.75</v>
      </c>
      <c r="I11" s="14" t="s">
        <v>58</v>
      </c>
      <c r="K11" s="24">
        <v>10.0</v>
      </c>
      <c r="L11" s="30" t="s">
        <v>59</v>
      </c>
      <c r="M11" s="24">
        <v>2.4520022E7</v>
      </c>
      <c r="N11" s="26" t="s">
        <v>60</v>
      </c>
      <c r="O11" s="24" t="s">
        <v>61</v>
      </c>
    </row>
    <row r="12" ht="22.5" customHeight="1">
      <c r="A12" s="8">
        <v>45995.032368009255</v>
      </c>
      <c r="B12" s="9">
        <v>12.0</v>
      </c>
      <c r="C12" s="10" t="s">
        <v>62</v>
      </c>
      <c r="D12" s="11">
        <v>9.0</v>
      </c>
      <c r="E12" s="12">
        <v>0.3</v>
      </c>
      <c r="F12" s="13">
        <v>0.25</v>
      </c>
      <c r="G12" s="13">
        <v>0.3</v>
      </c>
      <c r="H12" s="13">
        <f t="shared" si="1"/>
        <v>9.85</v>
      </c>
      <c r="I12" s="14" t="s">
        <v>63</v>
      </c>
      <c r="K12" s="15">
        <v>11.0</v>
      </c>
      <c r="L12" s="27" t="s">
        <v>64</v>
      </c>
      <c r="M12" s="15">
        <v>2.4521703E7</v>
      </c>
      <c r="N12" s="34" t="s">
        <v>65</v>
      </c>
      <c r="O12" s="35" t="s">
        <v>66</v>
      </c>
    </row>
    <row r="13" ht="22.5" customHeight="1">
      <c r="A13" s="19">
        <v>45996.45086618056</v>
      </c>
      <c r="B13" s="28">
        <v>13.0</v>
      </c>
      <c r="C13" s="36" t="s">
        <v>67</v>
      </c>
      <c r="D13" s="14">
        <v>9.0</v>
      </c>
      <c r="E13" s="12">
        <v>0.2</v>
      </c>
      <c r="F13" s="13">
        <v>0.2</v>
      </c>
      <c r="G13" s="13">
        <v>0.3</v>
      </c>
      <c r="H13" s="13">
        <f> SUM(C13:G13)</f>
        <v>9.7</v>
      </c>
      <c r="I13" s="14" t="s">
        <v>68</v>
      </c>
      <c r="K13" s="24">
        <v>12.0</v>
      </c>
      <c r="L13" s="37" t="s">
        <v>69</v>
      </c>
      <c r="M13" s="24">
        <v>2.4520036E7</v>
      </c>
      <c r="N13" s="26" t="s">
        <v>70</v>
      </c>
      <c r="O13" s="24" t="s">
        <v>71</v>
      </c>
    </row>
    <row r="14" ht="22.5" customHeight="1">
      <c r="A14" s="38">
        <v>45996.351234699076</v>
      </c>
      <c r="B14" s="9">
        <v>14.0</v>
      </c>
      <c r="C14" s="39" t="s">
        <v>72</v>
      </c>
      <c r="D14" s="11">
        <v>9.0</v>
      </c>
      <c r="E14" s="12">
        <v>0.3</v>
      </c>
      <c r="F14" s="13">
        <v>0.27</v>
      </c>
      <c r="G14" s="13">
        <v>0.3</v>
      </c>
      <c r="H14" s="13">
        <f t="shared" ref="H14:H17" si="2"> SUM(D14:G14)</f>
        <v>9.87</v>
      </c>
      <c r="I14" s="14" t="s">
        <v>73</v>
      </c>
      <c r="K14" s="15">
        <v>13.0</v>
      </c>
      <c r="L14" s="27" t="s">
        <v>74</v>
      </c>
      <c r="M14" s="15">
        <v>2.4520025E7</v>
      </c>
      <c r="N14" s="17" t="s">
        <v>75</v>
      </c>
      <c r="O14" s="15" t="s">
        <v>76</v>
      </c>
    </row>
    <row r="15" ht="22.5" customHeight="1">
      <c r="A15" s="8">
        <v>45995.846587974534</v>
      </c>
      <c r="B15" s="31">
        <v>15.0</v>
      </c>
      <c r="C15" s="10" t="s">
        <v>77</v>
      </c>
      <c r="D15" s="11">
        <v>9.0</v>
      </c>
      <c r="E15" s="12">
        <v>0.25</v>
      </c>
      <c r="F15" s="13">
        <v>0.24</v>
      </c>
      <c r="G15" s="13">
        <v>0.3</v>
      </c>
      <c r="H15" s="13">
        <f t="shared" si="2"/>
        <v>9.79</v>
      </c>
      <c r="I15" s="14" t="s">
        <v>78</v>
      </c>
      <c r="K15" s="24">
        <v>14.0</v>
      </c>
      <c r="L15" s="40" t="s">
        <v>79</v>
      </c>
      <c r="M15" s="24">
        <v>2.452001E7</v>
      </c>
      <c r="N15" s="26" t="s">
        <v>80</v>
      </c>
      <c r="O15" s="24" t="s">
        <v>81</v>
      </c>
    </row>
    <row r="16" ht="22.5" customHeight="1">
      <c r="A16" s="19">
        <v>45995.96607810185</v>
      </c>
      <c r="B16" s="20">
        <v>16.0</v>
      </c>
      <c r="C16" s="21" t="s">
        <v>82</v>
      </c>
      <c r="D16" s="22">
        <v>9.0</v>
      </c>
      <c r="E16" s="23">
        <v>0.4</v>
      </c>
      <c r="F16" s="13">
        <v>0.3</v>
      </c>
      <c r="G16" s="13">
        <v>0.3</v>
      </c>
      <c r="H16" s="13">
        <f t="shared" si="2"/>
        <v>10</v>
      </c>
      <c r="I16" s="14" t="s">
        <v>83</v>
      </c>
      <c r="K16" s="15">
        <v>15.0</v>
      </c>
      <c r="L16" s="41" t="s">
        <v>84</v>
      </c>
      <c r="M16" s="15">
        <v>2.4520006E7</v>
      </c>
      <c r="N16" s="17" t="s">
        <v>85</v>
      </c>
      <c r="O16" s="15" t="s">
        <v>86</v>
      </c>
    </row>
    <row r="17" ht="22.5" customHeight="1">
      <c r="A17" s="19">
        <v>45995.93775993056</v>
      </c>
      <c r="B17" s="20">
        <v>17.0</v>
      </c>
      <c r="C17" s="21" t="s">
        <v>87</v>
      </c>
      <c r="D17" s="22">
        <v>9.0</v>
      </c>
      <c r="E17" s="23">
        <v>0.35</v>
      </c>
      <c r="F17" s="13">
        <v>0.23</v>
      </c>
      <c r="G17" s="13">
        <v>0.3</v>
      </c>
      <c r="H17" s="13">
        <f t="shared" si="2"/>
        <v>9.88</v>
      </c>
      <c r="I17" s="14" t="s">
        <v>88</v>
      </c>
      <c r="K17" s="24">
        <v>16.0</v>
      </c>
      <c r="L17" s="25" t="s">
        <v>89</v>
      </c>
      <c r="M17" s="24">
        <v>2.4520879E7</v>
      </c>
      <c r="N17" s="26" t="s">
        <v>90</v>
      </c>
      <c r="O17" s="24" t="s">
        <v>91</v>
      </c>
    </row>
    <row r="18" ht="22.5" customHeight="1">
      <c r="K18" s="15">
        <v>17.0</v>
      </c>
      <c r="L18" s="27" t="s">
        <v>92</v>
      </c>
      <c r="M18" s="15">
        <v>2.4521589E7</v>
      </c>
      <c r="N18" s="17" t="s">
        <v>93</v>
      </c>
      <c r="O18" s="15" t="s">
        <v>94</v>
      </c>
    </row>
    <row r="24" ht="22.5" customHeight="1">
      <c r="A24" s="4" t="s">
        <v>95</v>
      </c>
      <c r="B24" s="4" t="s">
        <v>96</v>
      </c>
      <c r="C24" s="4" t="s">
        <v>97</v>
      </c>
      <c r="D24" s="4" t="s">
        <v>1</v>
      </c>
    </row>
    <row r="25" ht="51.0" customHeight="1">
      <c r="A25" s="42" t="s">
        <v>98</v>
      </c>
      <c r="B25" s="43" t="s">
        <v>99</v>
      </c>
      <c r="C25" s="14" t="s">
        <v>100</v>
      </c>
      <c r="D25" s="44" t="s">
        <v>101</v>
      </c>
    </row>
    <row r="26" ht="45.75" customHeight="1">
      <c r="A26" s="42" t="s">
        <v>102</v>
      </c>
      <c r="B26" s="43" t="s">
        <v>103</v>
      </c>
      <c r="C26" s="14" t="s">
        <v>104</v>
      </c>
      <c r="D26" s="44" t="s">
        <v>105</v>
      </c>
    </row>
    <row r="27" ht="37.5" customHeight="1">
      <c r="A27" s="42" t="s">
        <v>106</v>
      </c>
      <c r="B27" s="43" t="s">
        <v>107</v>
      </c>
      <c r="C27" s="14" t="s">
        <v>108</v>
      </c>
      <c r="D27" s="44"/>
    </row>
    <row r="30" ht="22.5" customHeight="1">
      <c r="A30" s="4" t="s">
        <v>95</v>
      </c>
      <c r="B30" s="4" t="s">
        <v>96</v>
      </c>
      <c r="C30" s="4" t="s">
        <v>109</v>
      </c>
      <c r="D30" s="4" t="s">
        <v>1</v>
      </c>
    </row>
    <row r="31" ht="83.25" customHeight="1">
      <c r="A31" s="42" t="s">
        <v>98</v>
      </c>
      <c r="B31" s="43" t="s">
        <v>110</v>
      </c>
      <c r="C31" s="14" t="s">
        <v>111</v>
      </c>
      <c r="D31" s="44" t="s">
        <v>112</v>
      </c>
    </row>
    <row r="32" ht="72.0" customHeight="1">
      <c r="A32" s="42" t="s">
        <v>102</v>
      </c>
      <c r="B32" s="43" t="s">
        <v>113</v>
      </c>
      <c r="C32" s="14" t="s">
        <v>114</v>
      </c>
      <c r="D32" s="44" t="s">
        <v>115</v>
      </c>
    </row>
    <row r="33" ht="53.25" customHeight="1">
      <c r="A33" s="42" t="s">
        <v>106</v>
      </c>
      <c r="B33" s="43" t="s">
        <v>116</v>
      </c>
      <c r="C33" s="14" t="s">
        <v>117</v>
      </c>
      <c r="D33" s="44"/>
    </row>
    <row r="36" ht="22.5" customHeight="1">
      <c r="A36" s="4" t="s">
        <v>95</v>
      </c>
      <c r="B36" s="4" t="s">
        <v>96</v>
      </c>
      <c r="C36" s="4" t="s">
        <v>97</v>
      </c>
      <c r="D36" s="4" t="s">
        <v>1</v>
      </c>
    </row>
    <row r="37" ht="67.5" customHeight="1">
      <c r="A37" s="42" t="s">
        <v>98</v>
      </c>
      <c r="B37" s="43" t="s">
        <v>110</v>
      </c>
      <c r="C37" s="14" t="s">
        <v>118</v>
      </c>
      <c r="D37" s="44" t="s">
        <v>119</v>
      </c>
    </row>
    <row r="38" ht="66.0" customHeight="1">
      <c r="A38" s="42" t="s">
        <v>102</v>
      </c>
      <c r="B38" s="43" t="s">
        <v>113</v>
      </c>
      <c r="C38" s="14" t="s">
        <v>120</v>
      </c>
      <c r="D38" s="44" t="s">
        <v>121</v>
      </c>
    </row>
    <row r="39" ht="51.75" customHeight="1">
      <c r="A39" s="42" t="s">
        <v>106</v>
      </c>
      <c r="B39" s="43">
        <v>0.0</v>
      </c>
      <c r="C39" s="14" t="s">
        <v>122</v>
      </c>
      <c r="D39" s="45"/>
    </row>
  </sheetData>
  <dataValidations>
    <dataValidation allowBlank="1" showDropDown="1" sqref="D25:D27 D31:D33 D37:D39"/>
  </dataValidations>
  <hyperlinks>
    <hyperlink r:id="rId1" ref="C2"/>
    <hyperlink r:id="rId2" ref="L2"/>
    <hyperlink r:id="rId3" ref="N2"/>
    <hyperlink r:id="rId4" ref="C3"/>
    <hyperlink r:id="rId5" ref="L3"/>
    <hyperlink r:id="rId6" ref="N3"/>
    <hyperlink r:id="rId7" ref="C4"/>
    <hyperlink r:id="rId8" ref="L4"/>
    <hyperlink r:id="rId9" ref="N4"/>
    <hyperlink r:id="rId10" ref="C5"/>
    <hyperlink r:id="rId11" ref="L5"/>
    <hyperlink r:id="rId12" ref="N5"/>
    <hyperlink r:id="rId13" ref="C6"/>
    <hyperlink r:id="rId14" ref="L6"/>
    <hyperlink r:id="rId15" ref="N6"/>
    <hyperlink r:id="rId16" ref="C7"/>
    <hyperlink r:id="rId17" ref="L7"/>
    <hyperlink r:id="rId18" ref="N7"/>
    <hyperlink r:id="rId19" ref="C8"/>
    <hyperlink r:id="rId20" ref="L8"/>
    <hyperlink r:id="rId21" ref="N8"/>
    <hyperlink r:id="rId22" ref="C9"/>
    <hyperlink r:id="rId23" ref="L9"/>
    <hyperlink r:id="rId24" ref="N9"/>
    <hyperlink r:id="rId25" ref="C10"/>
    <hyperlink r:id="rId26" ref="L10"/>
    <hyperlink r:id="rId27" ref="N10"/>
    <hyperlink r:id="rId28" ref="C11"/>
    <hyperlink r:id="rId29" ref="L11"/>
    <hyperlink r:id="rId30" ref="N11"/>
    <hyperlink r:id="rId31" ref="C12"/>
    <hyperlink r:id="rId32" ref="L12"/>
    <hyperlink r:id="rId33" ref="N12"/>
    <hyperlink r:id="rId34" ref="C13"/>
    <hyperlink r:id="rId35" ref="L13"/>
    <hyperlink r:id="rId36" ref="N13"/>
    <hyperlink r:id="rId37" ref="C14"/>
    <hyperlink r:id="rId38" ref="L14"/>
    <hyperlink r:id="rId39" ref="N14"/>
    <hyperlink r:id="rId40" ref="C15"/>
    <hyperlink r:id="rId41" ref="L15"/>
    <hyperlink r:id="rId42" ref="N15"/>
    <hyperlink r:id="rId43" ref="C16"/>
    <hyperlink r:id="rId44" ref="L16"/>
    <hyperlink r:id="rId45" ref="N16"/>
    <hyperlink r:id="rId46" ref="C17"/>
    <hyperlink r:id="rId47" ref="L17"/>
    <hyperlink r:id="rId48" ref="N17"/>
    <hyperlink r:id="rId49" ref="L18"/>
    <hyperlink r:id="rId50" ref="N18"/>
  </hyperlinks>
  <drawing r:id="rId51"/>
  <tableParts count="5">
    <tablePart r:id="rId57"/>
    <tablePart r:id="rId58"/>
    <tablePart r:id="rId59"/>
    <tablePart r:id="rId60"/>
    <tablePart r:id="rId61"/>
  </tableParts>
</worksheet>
</file>